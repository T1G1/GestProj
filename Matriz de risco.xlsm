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45" windowWidth="11355" windowHeight="8445" activeTab="1"/>
  </bookViews>
  <sheets>
    <sheet name="Matriz de risco" sheetId="1" r:id="rId1"/>
    <sheet name="Levantamento" sheetId="2" r:id="rId2"/>
  </sheets>
  <definedNames>
    <definedName name="_xlnm._FilterDatabase" localSheetId="1" hidden="1">Levantamento!$B$14:$M$30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1">Levantamento!$A$1:$Q$30</definedName>
  </definedNames>
  <calcPr calcId="144525"/>
</workbook>
</file>

<file path=xl/calcChain.xml><?xml version="1.0" encoding="utf-8"?>
<calcChain xmlns="http://schemas.openxmlformats.org/spreadsheetml/2006/main">
  <c r="F16" i="2" l="1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H35" i="2"/>
  <c r="H36" i="2"/>
  <c r="H34" i="2"/>
  <c r="E35" i="2"/>
  <c r="E36" i="2"/>
  <c r="E34" i="2"/>
  <c r="I35" i="2"/>
  <c r="I36" i="2"/>
  <c r="I34" i="2"/>
  <c r="F35" i="2"/>
  <c r="F36" i="2"/>
  <c r="F34" i="2"/>
  <c r="G16" i="2" s="1"/>
  <c r="E13" i="1"/>
  <c r="C15" i="1"/>
  <c r="C16" i="1"/>
  <c r="C14" i="1"/>
  <c r="D13" i="1"/>
  <c r="E14" i="1"/>
  <c r="E15" i="1"/>
  <c r="E16" i="1"/>
  <c r="F15" i="2"/>
  <c r="G15" i="2"/>
  <c r="D15" i="1"/>
  <c r="D16" i="1"/>
  <c r="D14" i="1"/>
  <c r="F13" i="1"/>
  <c r="F16" i="1"/>
  <c r="F15" i="1"/>
  <c r="F14" i="1"/>
  <c r="G30" i="2" l="1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P15" i="2"/>
  <c r="Q15" i="2" s="1"/>
  <c r="P30" i="2"/>
  <c r="Q30" i="2" s="1"/>
  <c r="P29" i="2"/>
  <c r="P28" i="2"/>
  <c r="P27" i="2"/>
  <c r="P26" i="2"/>
  <c r="P25" i="2"/>
  <c r="P24" i="2"/>
  <c r="P23" i="2"/>
  <c r="Q23" i="2" s="1"/>
  <c r="P22" i="2"/>
  <c r="Q22" i="2" s="1"/>
  <c r="P21" i="2"/>
  <c r="Q21" i="2" s="1"/>
  <c r="P20" i="2"/>
  <c r="Q20" i="2" s="1"/>
  <c r="P19" i="2"/>
  <c r="Q19" i="2" s="1"/>
  <c r="P18" i="2"/>
  <c r="Q18" i="2" s="1"/>
  <c r="P17" i="2"/>
  <c r="Q17" i="2" s="1"/>
  <c r="P16" i="2"/>
  <c r="Q16" i="2" s="1"/>
  <c r="Q24" i="2"/>
  <c r="Q25" i="2"/>
  <c r="Q26" i="2"/>
  <c r="Q27" i="2"/>
  <c r="Q28" i="2"/>
  <c r="Q29" i="2"/>
</calcChain>
</file>

<file path=xl/sharedStrings.xml><?xml version="1.0" encoding="utf-8"?>
<sst xmlns="http://schemas.openxmlformats.org/spreadsheetml/2006/main" count="233" uniqueCount="93">
  <si>
    <t>Alta</t>
  </si>
  <si>
    <t>Moderada</t>
  </si>
  <si>
    <t>Baixa</t>
  </si>
  <si>
    <t>Grave</t>
  </si>
  <si>
    <t>Marginal</t>
  </si>
  <si>
    <t>Risco elevado</t>
  </si>
  <si>
    <t>Risco moderado</t>
  </si>
  <si>
    <t>Risco baixo</t>
  </si>
  <si>
    <t>Risco muito baixo</t>
  </si>
  <si>
    <t>Tipos de risco</t>
  </si>
  <si>
    <t>a</t>
  </si>
  <si>
    <t>Risco económico</t>
  </si>
  <si>
    <t>Risco técnico</t>
  </si>
  <si>
    <t>Risco de gestão</t>
  </si>
  <si>
    <t>b</t>
  </si>
  <si>
    <t>c</t>
  </si>
  <si>
    <t>Descrição do Risco</t>
  </si>
  <si>
    <t>Classificação</t>
  </si>
  <si>
    <t>Estratégias mitigadoras</t>
  </si>
  <si>
    <t>Classe</t>
  </si>
  <si>
    <t>Stakeholder Identificador</t>
  </si>
  <si>
    <t>Eliminação</t>
  </si>
  <si>
    <t>Transferência</t>
  </si>
  <si>
    <t>Momento</t>
  </si>
  <si>
    <t>Adopção de novas tecnologias</t>
  </si>
  <si>
    <t>Deficiente comunicação de requisitos</t>
  </si>
  <si>
    <t>Inexperiência da equipa do projecto</t>
  </si>
  <si>
    <t>Inadequação de estilos de trabalho ao papel desempenhado</t>
  </si>
  <si>
    <t>Indisponibilidade de tempo para desenvolvimento incremental</t>
  </si>
  <si>
    <t>Estimativas mal definidas</t>
  </si>
  <si>
    <t>Indisponibilidade de elementos da equipa durante o projecto</t>
  </si>
  <si>
    <t>Interpretação divergente dos objectivos entre stakeholders</t>
  </si>
  <si>
    <t>Expectativas irrealistas da equipa de projecto e cliente</t>
  </si>
  <si>
    <t>Comprometimento dos níveis de qualidade face à execução do projecto</t>
  </si>
  <si>
    <t>Probabilidade</t>
  </si>
  <si>
    <t>Impacto</t>
  </si>
  <si>
    <t>d</t>
  </si>
  <si>
    <t>Risco de recursos humanos</t>
  </si>
  <si>
    <t>Moderado</t>
  </si>
  <si>
    <t xml:space="preserve">              Probabilidade    Impacto</t>
  </si>
  <si>
    <t>Classificação do risco</t>
  </si>
  <si>
    <t>de</t>
  </si>
  <si>
    <t xml:space="preserve"> Índice</t>
  </si>
  <si>
    <t>a) Alta</t>
  </si>
  <si>
    <t>b) Moderada</t>
  </si>
  <si>
    <t>c) Baixa</t>
  </si>
  <si>
    <t>a) Grave</t>
  </si>
  <si>
    <t>b) Moderado</t>
  </si>
  <si>
    <t>c) Marginal</t>
  </si>
  <si>
    <t>Stakeholders</t>
  </si>
  <si>
    <t>Docentes da UC</t>
  </si>
  <si>
    <t>Cliente</t>
  </si>
  <si>
    <t>Plano de qualidade deficiente</t>
  </si>
  <si>
    <t>Indisponidilidade de stakeholders para comunicar eficazmente</t>
  </si>
  <si>
    <t>Má distribuição do trabalho pelos elementos da equipa de projecto</t>
  </si>
  <si>
    <t>Incompatibilidade entre o desempenho da equipa e as milestones impostas</t>
  </si>
  <si>
    <t>Elevado número de riscos assumidos passivamente</t>
  </si>
  <si>
    <t>[EP] GPI</t>
  </si>
  <si>
    <t>[EP] ANI</t>
  </si>
  <si>
    <t>[EP] CQI</t>
  </si>
  <si>
    <t>[EP] PRI</t>
  </si>
  <si>
    <t>b,c</t>
  </si>
  <si>
    <t xml:space="preserve">Inadequação dos recursos técnológicos disponíveis (equipamento e software) </t>
  </si>
  <si>
    <t>Planeamento</t>
  </si>
  <si>
    <t>Lev. de Requisitos</t>
  </si>
  <si>
    <t>Iniciação</t>
  </si>
  <si>
    <t>Execução</t>
  </si>
  <si>
    <t>Encerramento</t>
  </si>
  <si>
    <t>-- todo o projecto --</t>
  </si>
  <si>
    <t>Stakeholder Responsável</t>
  </si>
  <si>
    <t>Estudo das tecnologias e análise de alternativas</t>
  </si>
  <si>
    <t>Esclarecimento junto do cliente e registo de todos as comunicações</t>
  </si>
  <si>
    <t>Gerar uma dinâmica de trabalho em equipa e entreajuda</t>
  </si>
  <si>
    <t>Adoptar metodologias de trabalho de grande proximidade entre o ANI e PRI</t>
  </si>
  <si>
    <t>Aferir a velocidade de desenvolvimento diariamente e refleti-la nas estimativas subsequentes</t>
  </si>
  <si>
    <t>Renegociar o âmbito com GPI</t>
  </si>
  <si>
    <t>Revisão do plano de qualidade e testes</t>
  </si>
  <si>
    <t>Sensibilizar os stakeholders externos e manter os registos comunicação</t>
  </si>
  <si>
    <t>Comunicar prazos limite para a obtenção da informação e consequências para o projecto</t>
  </si>
  <si>
    <t>Obter a aprovação do âmbito junto dos docentes da cadeira</t>
  </si>
  <si>
    <t>Renegociar o âmbito com Cliente</t>
  </si>
  <si>
    <t>Identificar as situações com impacto no projecto e redefinir tarefas</t>
  </si>
  <si>
    <t>Sensibilizar a equipa para a Qualidade</t>
  </si>
  <si>
    <t>Impor os níveis de qualidade definidos para o projecto</t>
  </si>
  <si>
    <t>Reorganizar a equipa</t>
  </si>
  <si>
    <t>Reorganizar a equipa de PRI</t>
  </si>
  <si>
    <t>Probabilidade2</t>
  </si>
  <si>
    <t>Impacto3</t>
  </si>
  <si>
    <t xml:space="preserve"> Índice4</t>
  </si>
  <si>
    <t>Reavaliação após medidas de Eliminação</t>
  </si>
  <si>
    <t>Classe2</t>
  </si>
  <si>
    <t>Matriz de Gestão de Riscos</t>
  </si>
  <si>
    <t>Tipo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</si>
</sst>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b/>
      <sz val="10"/>
      <color indexed="16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sz val="8"/>
      <name val="Arial"/>
    </font>
    <font>
      <b/>
      <sz val="10"/>
      <name val="Arial"/>
    </font>
    <font>
      <sz val="10"/>
      <name val="Arial"/>
      <family val="2"/>
    </font>
    <font>
      <b/>
      <sz val="11"/>
      <color rgb="FF3E7898"/>
      <name val="Helvetica Neue"/>
    </font>
    <font>
      <sz val="11"/>
      <color rgb="FF3E7898"/>
      <name val="Helvetica Neue"/>
    </font>
    <font>
      <sz val="11"/>
      <color rgb="FF467C97"/>
      <name val="Helvetica Neue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F3F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Down="1">
      <left style="medium">
        <color indexed="64"/>
      </left>
      <right/>
      <top style="medium">
        <color indexed="64"/>
      </top>
      <bottom/>
      <diagonal style="hair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 style="medium">
        <color indexed="64"/>
      </left>
      <right/>
      <top/>
      <bottom style="thin">
        <color indexed="64"/>
      </bottom>
      <diagonal style="hair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4C71A8"/>
      </right>
      <top/>
      <bottom style="medium">
        <color rgb="FF4C71A8"/>
      </bottom>
      <diagonal/>
    </border>
    <border>
      <left/>
      <right/>
      <top/>
      <bottom style="medium">
        <color rgb="FF4C71A8"/>
      </bottom>
      <diagonal/>
    </border>
    <border>
      <left/>
      <right style="medium">
        <color rgb="FF4C71A8"/>
      </right>
      <top/>
      <bottom/>
      <diagonal/>
    </border>
    <border>
      <left style="medium">
        <color rgb="FF4C71A8"/>
      </left>
      <right/>
      <top/>
      <bottom style="medium">
        <color rgb="FF4C71A8"/>
      </bottom>
      <diagonal/>
    </border>
    <border>
      <left style="medium">
        <color rgb="FF4C71A8"/>
      </left>
      <right/>
      <top/>
      <bottom/>
      <diagonal/>
    </border>
    <border>
      <left/>
      <right/>
      <top/>
      <bottom style="medium">
        <color rgb="FF467C97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3" xfId="0" applyBorder="1" applyAlignment="1"/>
    <xf numFmtId="0" fontId="0" fillId="0" borderId="4" xfId="0" applyBorder="1" applyAlignment="1"/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2" borderId="14" xfId="0" applyFont="1" applyFill="1" applyBorder="1"/>
    <xf numFmtId="0" fontId="5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15" xfId="0" applyBorder="1" applyAlignment="1"/>
    <xf numFmtId="0" fontId="0" fillId="0" borderId="16" xfId="0" applyBorder="1" applyAlignment="1"/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19" xfId="0" applyBorder="1" applyAlignment="1"/>
    <xf numFmtId="0" fontId="0" fillId="0" borderId="20" xfId="0" applyBorder="1" applyAlignment="1"/>
    <xf numFmtId="0" fontId="2" fillId="4" borderId="22" xfId="0" applyFont="1" applyFill="1" applyBorder="1"/>
    <xf numFmtId="0" fontId="2" fillId="5" borderId="23" xfId="0" applyFont="1" applyFill="1" applyBorder="1"/>
    <xf numFmtId="0" fontId="2" fillId="6" borderId="14" xfId="0" applyFont="1" applyFill="1" applyBorder="1"/>
    <xf numFmtId="0" fontId="6" fillId="4" borderId="1" xfId="0" applyFont="1" applyFill="1" applyBorder="1"/>
    <xf numFmtId="0" fontId="6" fillId="4" borderId="2" xfId="0" applyFont="1" applyFill="1" applyBorder="1"/>
    <xf numFmtId="0" fontId="6" fillId="6" borderId="15" xfId="0" applyFont="1" applyFill="1" applyBorder="1"/>
    <xf numFmtId="0" fontId="6" fillId="6" borderId="16" xfId="0" applyFont="1" applyFill="1" applyBorder="1"/>
    <xf numFmtId="0" fontId="6" fillId="2" borderId="15" xfId="0" applyFont="1" applyFill="1" applyBorder="1"/>
    <xf numFmtId="0" fontId="6" fillId="2" borderId="16" xfId="0" applyFont="1" applyFill="1" applyBorder="1"/>
    <xf numFmtId="0" fontId="6" fillId="5" borderId="3" xfId="0" applyFont="1" applyFill="1" applyBorder="1"/>
    <xf numFmtId="0" fontId="6" fillId="5" borderId="4" xfId="0" applyFont="1" applyFill="1" applyBorder="1"/>
    <xf numFmtId="0" fontId="6" fillId="0" borderId="0" xfId="0" applyFont="1" applyAlignment="1">
      <alignment horizontal="right"/>
    </xf>
    <xf numFmtId="0" fontId="6" fillId="0" borderId="17" xfId="0" applyFont="1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0" fontId="7" fillId="7" borderId="0" xfId="0" applyFont="1" applyFill="1" applyAlignment="1">
      <alignment vertical="center" wrapText="1"/>
    </xf>
    <xf numFmtId="0" fontId="7" fillId="7" borderId="0" xfId="0" applyFont="1" applyFill="1" applyAlignment="1">
      <alignment horizontal="center" vertical="center" wrapText="1"/>
    </xf>
    <xf numFmtId="0" fontId="8" fillId="7" borderId="24" xfId="0" applyFont="1" applyFill="1" applyBorder="1" applyAlignment="1">
      <alignment vertical="center" wrapText="1"/>
    </xf>
    <xf numFmtId="0" fontId="8" fillId="7" borderId="25" xfId="0" applyFont="1" applyFill="1" applyBorder="1" applyAlignment="1">
      <alignment vertical="center" wrapText="1"/>
    </xf>
    <xf numFmtId="0" fontId="8" fillId="7" borderId="26" xfId="0" applyFont="1" applyFill="1" applyBorder="1" applyAlignment="1">
      <alignment vertical="center" wrapText="1"/>
    </xf>
    <xf numFmtId="0" fontId="8" fillId="7" borderId="0" xfId="0" applyFont="1" applyFill="1" applyAlignment="1">
      <alignment vertical="center" wrapText="1"/>
    </xf>
    <xf numFmtId="0" fontId="8" fillId="7" borderId="0" xfId="0" applyFont="1" applyFill="1" applyBorder="1" applyAlignment="1">
      <alignment vertical="center" wrapText="1"/>
    </xf>
    <xf numFmtId="0" fontId="8" fillId="7" borderId="28" xfId="0" applyFont="1" applyFill="1" applyBorder="1" applyAlignment="1">
      <alignment vertical="center" wrapText="1"/>
    </xf>
    <xf numFmtId="0" fontId="8" fillId="7" borderId="27" xfId="0" applyFont="1" applyFill="1" applyBorder="1" applyAlignment="1">
      <alignment vertical="center" wrapText="1"/>
    </xf>
    <xf numFmtId="0" fontId="7" fillId="7" borderId="0" xfId="0" applyFont="1" applyFill="1" applyAlignment="1">
      <alignment horizontal="left" vertical="center" wrapText="1"/>
    </xf>
    <xf numFmtId="0" fontId="7" fillId="8" borderId="0" xfId="0" applyFont="1" applyFill="1" applyBorder="1" applyAlignment="1">
      <alignment vertical="center" wrapText="1"/>
    </xf>
    <xf numFmtId="0" fontId="7" fillId="8" borderId="25" xfId="0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29" xfId="0" applyFont="1" applyBorder="1" applyAlignment="1">
      <alignment vertical="center" wrapText="1"/>
    </xf>
    <xf numFmtId="0" fontId="7" fillId="8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33">
    <dxf>
      <fill>
        <patternFill>
          <bgColor indexed="53"/>
        </patternFill>
      </fill>
    </dxf>
    <dxf>
      <fill>
        <patternFill>
          <bgColor indexed="51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ill>
        <patternFill>
          <bgColor theme="6" tint="0.59996337778862885"/>
        </patternFill>
      </fill>
    </dxf>
    <dxf>
      <fill>
        <patternFill>
          <bgColor indexed="53"/>
        </patternFill>
      </fill>
    </dxf>
    <dxf>
      <fill>
        <patternFill>
          <bgColor indexed="51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ill>
        <patternFill>
          <bgColor theme="6" tint="0.59996337778862885"/>
        </patternFill>
      </fill>
    </dxf>
    <dxf>
      <fill>
        <patternFill>
          <bgColor indexed="53"/>
        </patternFill>
      </fill>
    </dxf>
    <dxf>
      <fill>
        <patternFill>
          <bgColor indexed="51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ill>
        <patternFill>
          <bgColor theme="6" tint="0.5999633777886288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467C97"/>
        <name val="Helvetica Neue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467C97"/>
        <name val="Helvetica Neue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protection locked="0" hidden="0"/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protection locked="0" hidden="0"/>
    </dxf>
    <dxf>
      <font>
        <sz val="11"/>
        <color rgb="FF3E7898"/>
        <name val="Helvetica Neu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protection locked="0" hidden="0"/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protection locked="0" hidden="0"/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protection locked="0" hidden="0"/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protection locked="0" hidden="0"/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protection locked="0" hidden="0"/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protection locked="0" hidden="0"/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E7898"/>
        <name val="Helvetica Neue"/>
        <scheme val="none"/>
      </font>
      <fill>
        <patternFill patternType="solid">
          <fgColor indexed="64"/>
          <bgColor rgb="FFEFF3F4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border>
        <bottom style="medium">
          <color rgb="FF4C71A8"/>
        </bottom>
      </border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protection locked="0" hidden="0"/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rgb="FF4C71A8"/>
        </left>
        <right/>
        <top/>
        <bottom/>
        <vertical/>
        <horizontal/>
      </border>
      <protection locked="0" hidden="0"/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protection locked="0" hidden="0"/>
    </dxf>
    <dxf>
      <font>
        <sz val="11"/>
        <color rgb="FF3E7898"/>
        <name val="Helvetica Neu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medium">
          <color rgb="FF4C71A8"/>
        </right>
        <top/>
        <bottom/>
        <vertical/>
        <horizontal/>
      </border>
      <protection locked="0" hidden="0"/>
    </dxf>
    <dxf>
      <protection locked="0" hidden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"/>
      <tableStyleElement type="headerRow" dxfId="31"/>
    </tableStyle>
  </tableStyles>
  <colors>
    <mruColors>
      <color rgb="FF467C97"/>
      <color rgb="FF96BB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8</xdr:row>
      <xdr:rowOff>5715</xdr:rowOff>
    </xdr:to>
    <xdr:sp macro="" textlink="">
      <xdr:nvSpPr>
        <xdr:cNvPr id="2" name="officeArt object"/>
        <xdr:cNvSpPr/>
      </xdr:nvSpPr>
      <xdr:spPr>
        <a:xfrm>
          <a:off x="0" y="0"/>
          <a:ext cx="25701625" cy="1386840"/>
        </a:xfrm>
        <a:prstGeom prst="rect">
          <a:avLst/>
        </a:prstGeom>
        <a:solidFill>
          <a:srgbClr val="96BBCD"/>
        </a:solidFill>
        <a:ln w="12700" cap="flat">
          <a:solidFill>
            <a:srgbClr val="000000">
              <a:alpha val="0"/>
            </a:srgbClr>
          </a:solidFill>
          <a:prstDash val="solid"/>
          <a:miter lim="400000"/>
        </a:ln>
        <a:effectLst/>
      </xdr:spPr>
      <xdr:txBody>
        <a:bodyPr wrap="square"/>
        <a:lstStyle/>
        <a:p>
          <a:endParaRPr lang="pt-PT"/>
        </a:p>
      </xdr:txBody>
    </xdr:sp>
    <xdr:clientData/>
  </xdr:twoCellAnchor>
</xdr:wsDr>
</file>

<file path=xl/tables/table1.xml><?xml version="1.0" encoding="utf-8"?>
<table xmlns="http://schemas.openxmlformats.org/spreadsheetml/2006/main" id="3" name="List1" displayName="List1" ref="B14:Q30" totalsRowShown="0" headerRowDxfId="24" dataDxfId="30" headerRowBorderDxfId="25">
  <autoFilter ref="B14:Q30"/>
  <tableColumns count="16">
    <tableColumn id="1" name="Tipo" dataDxfId="28"/>
    <tableColumn id="2" name="Descrição do Risco" dataDxfId="29"/>
    <tableColumn id="3" name="Probabilidade" dataDxfId="27"/>
    <tableColumn id="4" name="Impacto" dataDxfId="26"/>
    <tableColumn id="5" name=" Índice" dataDxfId="16">
      <calculatedColumnFormula>VLOOKUP(D15,E$34:$F36,2,FALSE)*VLOOKUP(E15,$H$34:$I$36,2,FALSE)</calculatedColumnFormula>
    </tableColumn>
    <tableColumn id="7" name="Classe" dataDxfId="13">
      <calculatedColumnFormula>IF(F15&gt;='Matriz de risco'!$D$21,'Matriz de risco'!$B$21,IF(F15&gt;='Matriz de risco'!$D$22,'Matriz de risco'!$B$22,IF(F15&gt;='Matriz de risco'!$D$23,'Matriz de risco'!$B$23,IF(F15&gt;='Matriz de risco'!$D$24,'Matriz de risco'!$B$24))))</calculatedColumnFormula>
    </tableColumn>
    <tableColumn id="9" name="Stakeholder Identificador" dataDxfId="15"/>
    <tableColumn id="11" name="Momento" dataDxfId="23"/>
    <tableColumn id="8" name="Stakeholder Responsável" dataDxfId="22"/>
    <tableColumn id="6" name="Eliminação" dataDxfId="21"/>
    <tableColumn id="10" name="Estratégias mitigadoras" dataDxfId="20"/>
    <tableColumn id="12" name="Transferência" dataDxfId="19"/>
    <tableColumn id="13" name="Probabilidade2" dataDxfId="18"/>
    <tableColumn id="14" name="Impacto3" dataDxfId="17"/>
    <tableColumn id="15" name=" Índice4" dataDxfId="14">
      <calculatedColumnFormula>VLOOKUP(N15,$E$34:$F$36,2,FALSE)*VLOOKUP(O15,$H$34:$I$36,2,FALSE)</calculatedColumnFormula>
    </tableColumn>
    <tableColumn id="16" name="Classe2" dataDxfId="12">
      <calculatedColumnFormula>IF(P15&gt;='Matriz de risco'!$D$21,'Matriz de risco'!$B$21,IF(P15&gt;='Matriz de risco'!$D$22,'Matriz de risco'!$B$22,IF(P15&gt;='Matriz de risco'!$D$23,'Matriz de risco'!$B$23,IF(P15&gt;='Matriz de risco'!$D$24,'Matriz de risco'!$B$24))))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32"/>
  <sheetViews>
    <sheetView zoomScale="70" zoomScaleNormal="70" workbookViewId="0">
      <selection activeCell="D14" sqref="D14"/>
    </sheetView>
  </sheetViews>
  <sheetFormatPr defaultRowHeight="12.75" x14ac:dyDescent="0.2"/>
  <cols>
    <col min="2" max="2" width="26.7109375" customWidth="1"/>
    <col min="3" max="3" width="20" customWidth="1"/>
    <col min="4" max="6" width="11.42578125" customWidth="1"/>
  </cols>
  <sheetData>
    <row r="2" spans="2:6" ht="13.5" thickBot="1" x14ac:dyDescent="0.25">
      <c r="B2" s="24" t="s">
        <v>34</v>
      </c>
    </row>
    <row r="3" spans="2:6" x14ac:dyDescent="0.2">
      <c r="B3" s="9" t="s">
        <v>43</v>
      </c>
      <c r="C3" s="12">
        <v>1</v>
      </c>
    </row>
    <row r="4" spans="2:6" x14ac:dyDescent="0.2">
      <c r="B4" s="10" t="s">
        <v>44</v>
      </c>
      <c r="C4" s="13">
        <v>0.5</v>
      </c>
    </row>
    <row r="5" spans="2:6" ht="13.5" thickBot="1" x14ac:dyDescent="0.25">
      <c r="B5" s="11" t="s">
        <v>45</v>
      </c>
      <c r="C5" s="14">
        <v>0.2</v>
      </c>
    </row>
    <row r="7" spans="2:6" ht="13.5" thickBot="1" x14ac:dyDescent="0.25">
      <c r="B7" s="24" t="s">
        <v>35</v>
      </c>
    </row>
    <row r="8" spans="2:6" x14ac:dyDescent="0.2">
      <c r="B8" s="18" t="s">
        <v>46</v>
      </c>
      <c r="C8" s="15">
        <v>1</v>
      </c>
    </row>
    <row r="9" spans="2:6" x14ac:dyDescent="0.2">
      <c r="B9" s="19" t="s">
        <v>47</v>
      </c>
      <c r="C9" s="16">
        <v>0.5</v>
      </c>
    </row>
    <row r="10" spans="2:6" ht="13.5" thickBot="1" x14ac:dyDescent="0.25">
      <c r="B10" s="20" t="s">
        <v>48</v>
      </c>
      <c r="C10" s="17">
        <v>0.2</v>
      </c>
    </row>
    <row r="11" spans="2:6" ht="13.5" thickBot="1" x14ac:dyDescent="0.25"/>
    <row r="12" spans="2:6" x14ac:dyDescent="0.2">
      <c r="C12" s="49" t="s">
        <v>39</v>
      </c>
      <c r="D12" s="2" t="s">
        <v>0</v>
      </c>
      <c r="E12" s="2" t="s">
        <v>1</v>
      </c>
      <c r="F12" s="3" t="s">
        <v>2</v>
      </c>
    </row>
    <row r="13" spans="2:6" ht="16.5" customHeight="1" thickBot="1" x14ac:dyDescent="0.25">
      <c r="C13" s="50"/>
      <c r="D13" s="32">
        <f>C3</f>
        <v>1</v>
      </c>
      <c r="E13" s="32">
        <f>C4</f>
        <v>0.5</v>
      </c>
      <c r="F13" s="33">
        <f>C5</f>
        <v>0.2</v>
      </c>
    </row>
    <row r="14" spans="2:6" x14ac:dyDescent="0.2">
      <c r="B14" s="25" t="s">
        <v>3</v>
      </c>
      <c r="C14" s="34">
        <f>C8</f>
        <v>1</v>
      </c>
      <c r="D14" s="35">
        <f t="shared" ref="D14:F16" si="0">D$13*$C14</f>
        <v>1</v>
      </c>
      <c r="E14" s="35">
        <f t="shared" si="0"/>
        <v>0.5</v>
      </c>
      <c r="F14" s="36">
        <f t="shared" si="0"/>
        <v>0.2</v>
      </c>
    </row>
    <row r="15" spans="2:6" x14ac:dyDescent="0.2">
      <c r="B15" s="26" t="s">
        <v>38</v>
      </c>
      <c r="C15" s="30">
        <f>C9</f>
        <v>0.5</v>
      </c>
      <c r="D15" s="28">
        <f t="shared" si="0"/>
        <v>0.5</v>
      </c>
      <c r="E15" s="28">
        <f t="shared" si="0"/>
        <v>0.25</v>
      </c>
      <c r="F15" s="29">
        <f t="shared" si="0"/>
        <v>0.1</v>
      </c>
    </row>
    <row r="16" spans="2:6" ht="13.5" thickBot="1" x14ac:dyDescent="0.25">
      <c r="B16" s="27" t="s">
        <v>4</v>
      </c>
      <c r="C16" s="31">
        <f>C10</f>
        <v>0.2</v>
      </c>
      <c r="D16" s="7">
        <f t="shared" si="0"/>
        <v>0.2</v>
      </c>
      <c r="E16" s="7">
        <f t="shared" si="0"/>
        <v>0.1</v>
      </c>
      <c r="F16" s="8">
        <f t="shared" si="0"/>
        <v>4.0000000000000008E-2</v>
      </c>
    </row>
    <row r="20" spans="2:6" ht="13.5" thickBot="1" x14ac:dyDescent="0.25">
      <c r="B20" s="4" t="s">
        <v>40</v>
      </c>
      <c r="C20" s="5" t="s">
        <v>41</v>
      </c>
      <c r="D20" s="5" t="s">
        <v>10</v>
      </c>
    </row>
    <row r="21" spans="2:6" x14ac:dyDescent="0.2">
      <c r="B21" s="37" t="s">
        <v>5</v>
      </c>
      <c r="C21" s="40">
        <v>1</v>
      </c>
      <c r="D21" s="41">
        <v>0.5</v>
      </c>
    </row>
    <row r="22" spans="2:6" x14ac:dyDescent="0.2">
      <c r="B22" s="39" t="s">
        <v>6</v>
      </c>
      <c r="C22" s="42">
        <v>0.25</v>
      </c>
      <c r="D22" s="43">
        <v>0.2</v>
      </c>
    </row>
    <row r="23" spans="2:6" x14ac:dyDescent="0.2">
      <c r="B23" s="21" t="s">
        <v>7</v>
      </c>
      <c r="C23" s="44">
        <v>0.1</v>
      </c>
      <c r="D23" s="45">
        <v>0.1</v>
      </c>
    </row>
    <row r="24" spans="2:6" ht="13.5" thickBot="1" x14ac:dyDescent="0.25">
      <c r="B24" s="38" t="s">
        <v>8</v>
      </c>
      <c r="C24" s="46">
        <v>0.04</v>
      </c>
      <c r="D24" s="47">
        <v>0</v>
      </c>
    </row>
    <row r="25" spans="2:6" x14ac:dyDescent="0.2">
      <c r="E25" s="22"/>
    </row>
    <row r="26" spans="2:6" x14ac:dyDescent="0.2">
      <c r="F26" s="6"/>
    </row>
    <row r="27" spans="2:6" x14ac:dyDescent="0.2">
      <c r="F27" s="6"/>
    </row>
    <row r="28" spans="2:6" x14ac:dyDescent="0.2">
      <c r="B28" s="24"/>
      <c r="C28" s="23"/>
    </row>
    <row r="32" spans="2:6" ht="12" customHeight="1" x14ac:dyDescent="0.2"/>
  </sheetData>
  <mergeCells count="1">
    <mergeCell ref="C12:C13"/>
  </mergeCells>
  <phoneticPr fontId="4" type="noConversion"/>
  <conditionalFormatting sqref="D14:F16">
    <cfRule type="cellIs" dxfId="11" priority="14" stopIfTrue="1" operator="between">
      <formula>$C$24</formula>
      <formula>$D$24</formula>
    </cfRule>
    <cfRule type="cellIs" dxfId="10" priority="15" stopIfTrue="1" operator="between">
      <formula>$C$23</formula>
      <formula>$D$23</formula>
    </cfRule>
    <cfRule type="cellIs" dxfId="9" priority="16" stopIfTrue="1" operator="between">
      <formula>$C$22</formula>
      <formula>$D$22</formula>
    </cfRule>
    <cfRule type="cellIs" dxfId="8" priority="17" stopIfTrue="1" operator="between">
      <formula>$C$21</formula>
      <formula>$D$21</formula>
    </cfRule>
  </conditionalFormatting>
  <dataValidations count="1">
    <dataValidation showInputMessage="1" showErrorMessage="1" sqref="E25"/>
  </dataValidations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Q41"/>
  <sheetViews>
    <sheetView tabSelected="1" view="pageBreakPreview" zoomScale="60" zoomScaleNormal="55" zoomScalePageLayoutView="40" workbookViewId="0">
      <selection activeCell="C3" sqref="C3"/>
    </sheetView>
  </sheetViews>
  <sheetFormatPr defaultRowHeight="12.75" x14ac:dyDescent="0.2"/>
  <cols>
    <col min="1" max="1" width="1.5703125" customWidth="1"/>
    <col min="2" max="2" width="6.7109375" customWidth="1"/>
    <col min="3" max="3" width="47.5703125" customWidth="1"/>
    <col min="4" max="4" width="18.28515625" bestFit="1" customWidth="1"/>
    <col min="5" max="5" width="14.140625" customWidth="1"/>
    <col min="6" max="6" width="9.85546875" customWidth="1"/>
    <col min="7" max="7" width="17.7109375" customWidth="1"/>
    <col min="8" max="8" width="20.28515625" customWidth="1"/>
    <col min="9" max="9" width="18.85546875" customWidth="1"/>
    <col min="10" max="10" width="19.5703125" customWidth="1"/>
    <col min="11" max="11" width="47.85546875" customWidth="1"/>
    <col min="12" max="12" width="48" customWidth="1"/>
    <col min="13" max="13" width="47.85546875" customWidth="1"/>
    <col min="14" max="14" width="22.5703125" customWidth="1"/>
    <col min="15" max="15" width="14.140625" customWidth="1"/>
    <col min="16" max="16" width="12.7109375" customWidth="1"/>
    <col min="17" max="17" width="18" customWidth="1"/>
  </cols>
  <sheetData>
    <row r="2" spans="2:17" ht="21" customHeight="1" x14ac:dyDescent="0.2"/>
    <row r="12" spans="2:17" ht="23.25" customHeight="1" x14ac:dyDescent="0.2">
      <c r="B12" s="60" t="s">
        <v>91</v>
      </c>
      <c r="C12" s="60"/>
      <c r="D12" s="60"/>
      <c r="E12" s="60"/>
    </row>
    <row r="13" spans="2:17" ht="15" customHeight="1" x14ac:dyDescent="0.2">
      <c r="B13" s="61"/>
      <c r="C13" s="61"/>
      <c r="D13" s="61"/>
      <c r="E13" s="65" t="s">
        <v>17</v>
      </c>
      <c r="F13" s="65"/>
      <c r="G13" s="65"/>
      <c r="H13" s="61"/>
      <c r="I13" s="61"/>
      <c r="J13" s="61"/>
      <c r="K13" s="61"/>
      <c r="L13" s="61"/>
      <c r="M13" s="61"/>
      <c r="N13" s="65" t="s">
        <v>89</v>
      </c>
      <c r="O13" s="65"/>
      <c r="P13" s="65"/>
      <c r="Q13" s="65"/>
    </row>
    <row r="14" spans="2:17" ht="40.5" customHeight="1" thickBot="1" x14ac:dyDescent="0.25">
      <c r="B14" s="62" t="s">
        <v>92</v>
      </c>
      <c r="C14" s="62" t="s">
        <v>16</v>
      </c>
      <c r="D14" s="62" t="s">
        <v>34</v>
      </c>
      <c r="E14" s="62" t="s">
        <v>35</v>
      </c>
      <c r="F14" s="62" t="s">
        <v>42</v>
      </c>
      <c r="G14" s="62" t="s">
        <v>19</v>
      </c>
      <c r="H14" s="62" t="s">
        <v>20</v>
      </c>
      <c r="I14" s="62" t="s">
        <v>23</v>
      </c>
      <c r="J14" s="62" t="s">
        <v>69</v>
      </c>
      <c r="K14" s="62" t="s">
        <v>21</v>
      </c>
      <c r="L14" s="62" t="s">
        <v>18</v>
      </c>
      <c r="M14" s="62" t="s">
        <v>22</v>
      </c>
      <c r="N14" s="62" t="s">
        <v>86</v>
      </c>
      <c r="O14" s="62" t="s">
        <v>87</v>
      </c>
      <c r="P14" s="62" t="s">
        <v>88</v>
      </c>
      <c r="Q14" s="62" t="s">
        <v>90</v>
      </c>
    </row>
    <row r="15" spans="2:17" ht="35.25" customHeight="1" x14ac:dyDescent="0.2">
      <c r="B15" s="56" t="s">
        <v>14</v>
      </c>
      <c r="C15" s="55" t="s">
        <v>24</v>
      </c>
      <c r="D15" s="58" t="s">
        <v>44</v>
      </c>
      <c r="E15" s="57" t="s">
        <v>46</v>
      </c>
      <c r="F15" s="57">
        <f>VLOOKUP(D15,E$34:$F36,2,FALSE)*VLOOKUP(E15,$H$34:$I$36,2,FALSE)</f>
        <v>0.5</v>
      </c>
      <c r="G15" s="63" t="str">
        <f>IF(F15&gt;='Matriz de risco'!$D$21,'Matriz de risco'!$B$21,IF(F15&gt;='Matriz de risco'!$D$22,'Matriz de risco'!$B$22,IF(F15&gt;='Matriz de risco'!$D$23,'Matriz de risco'!$B$23,IF(F15&gt;='Matriz de risco'!$D$24,'Matriz de risco'!$B$24))))</f>
        <v>Risco elevado</v>
      </c>
      <c r="H15" s="57" t="s">
        <v>60</v>
      </c>
      <c r="I15" s="57" t="s">
        <v>64</v>
      </c>
      <c r="J15" s="57" t="s">
        <v>60</v>
      </c>
      <c r="K15" s="57" t="s">
        <v>70</v>
      </c>
      <c r="L15" s="57"/>
      <c r="M15" s="57"/>
      <c r="N15" s="57" t="s">
        <v>44</v>
      </c>
      <c r="O15" s="57" t="s">
        <v>47</v>
      </c>
      <c r="P15" s="57">
        <f>VLOOKUP(N15,$E$34:$F$36,2,FALSE)*VLOOKUP(O15,$H$34:$I$36,2,FALSE)</f>
        <v>0.25</v>
      </c>
      <c r="Q15" s="63" t="str">
        <f>IF(P15&gt;='Matriz de risco'!$D$21,'Matriz de risco'!$B$21,IF(P15&gt;='Matriz de risco'!$D$22,'Matriz de risco'!$B$22,IF(P15&gt;='Matriz de risco'!$D$23,'Matriz de risco'!$B$23,IF(P15&gt;='Matriz de risco'!$D$24,'Matriz de risco'!$B$24))))</f>
        <v>Risco moderado</v>
      </c>
    </row>
    <row r="16" spans="2:17" ht="35.25" customHeight="1" x14ac:dyDescent="0.2">
      <c r="B16" s="56" t="s">
        <v>14</v>
      </c>
      <c r="C16" s="55" t="s">
        <v>25</v>
      </c>
      <c r="D16" s="58" t="s">
        <v>44</v>
      </c>
      <c r="E16" s="57" t="s">
        <v>46</v>
      </c>
      <c r="F16" s="57">
        <f>VLOOKUP(D16,E$34:$F37,2,FALSE)*VLOOKUP(E16,$H$34:$I$36,2,FALSE)</f>
        <v>0.5</v>
      </c>
      <c r="G16" s="63" t="str">
        <f>IF(F16&gt;='Matriz de risco'!$D$21,'Matriz de risco'!$B$21,IF(F16&gt;='Matriz de risco'!$D$22,'Matriz de risco'!$B$22,IF(F16&gt;='Matriz de risco'!$D$23,'Matriz de risco'!$B$23,IF(F16&gt;='Matriz de risco'!$D$24,'Matriz de risco'!$B$24))))</f>
        <v>Risco elevado</v>
      </c>
      <c r="H16" s="57" t="s">
        <v>58</v>
      </c>
      <c r="I16" s="57" t="s">
        <v>64</v>
      </c>
      <c r="J16" s="57" t="s">
        <v>58</v>
      </c>
      <c r="K16" s="57" t="s">
        <v>71</v>
      </c>
      <c r="L16" s="57"/>
      <c r="M16" s="57"/>
      <c r="N16" s="57" t="s">
        <v>44</v>
      </c>
      <c r="O16" s="57" t="s">
        <v>47</v>
      </c>
      <c r="P16" s="57">
        <f>VLOOKUP(N16,$E$34:$F$36,2,FALSE)*VLOOKUP(O16,$H$34:$I$36,2,FALSE)</f>
        <v>0.25</v>
      </c>
      <c r="Q16" s="63" t="str">
        <f>IF(P16&gt;='Matriz de risco'!$D$21,'Matriz de risco'!$B$21,IF(P16&gt;='Matriz de risco'!$D$22,'Matriz de risco'!$B$22,IF(P16&gt;='Matriz de risco'!$D$23,'Matriz de risco'!$B$23,IF(P16&gt;='Matriz de risco'!$D$24,'Matriz de risco'!$B$24))))</f>
        <v>Risco moderado</v>
      </c>
    </row>
    <row r="17" spans="2:17" ht="35.25" customHeight="1" x14ac:dyDescent="0.2">
      <c r="B17" s="56" t="s">
        <v>61</v>
      </c>
      <c r="C17" s="55" t="s">
        <v>26</v>
      </c>
      <c r="D17" s="58" t="s">
        <v>44</v>
      </c>
      <c r="E17" s="57" t="s">
        <v>46</v>
      </c>
      <c r="F17" s="57">
        <f>VLOOKUP(D17,E$34:$F38,2,FALSE)*VLOOKUP(E17,$H$34:$I$36,2,FALSE)</f>
        <v>0.5</v>
      </c>
      <c r="G17" s="63" t="str">
        <f>IF(F17&gt;='Matriz de risco'!$D$21,'Matriz de risco'!$B$21,IF(F17&gt;='Matriz de risco'!$D$22,'Matriz de risco'!$B$22,IF(F17&gt;='Matriz de risco'!$D$23,'Matriz de risco'!$B$23,IF(F17&gt;='Matriz de risco'!$D$24,'Matriz de risco'!$B$24))))</f>
        <v>Risco elevado</v>
      </c>
      <c r="H17" s="57" t="s">
        <v>57</v>
      </c>
      <c r="I17" s="57" t="s">
        <v>68</v>
      </c>
      <c r="J17" s="57" t="s">
        <v>57</v>
      </c>
      <c r="K17" s="57" t="s">
        <v>72</v>
      </c>
      <c r="L17" s="57"/>
      <c r="M17" s="57"/>
      <c r="N17" s="57" t="s">
        <v>45</v>
      </c>
      <c r="O17" s="57" t="s">
        <v>46</v>
      </c>
      <c r="P17" s="57">
        <f>VLOOKUP(N17,$E$34:$F$36,2,FALSE)*VLOOKUP(O17,$H$34:$I$36,2,FALSE)</f>
        <v>0.2</v>
      </c>
      <c r="Q17" s="63" t="str">
        <f>IF(P17&gt;='Matriz de risco'!$D$21,'Matriz de risco'!$B$21,IF(P17&gt;='Matriz de risco'!$D$22,'Matriz de risco'!$B$22,IF(P17&gt;='Matriz de risco'!$D$23,'Matriz de risco'!$B$23,IF(P17&gt;='Matriz de risco'!$D$24,'Matriz de risco'!$B$24))))</f>
        <v>Risco moderado</v>
      </c>
    </row>
    <row r="18" spans="2:17" ht="35.25" customHeight="1" x14ac:dyDescent="0.2">
      <c r="B18" s="57" t="s">
        <v>15</v>
      </c>
      <c r="C18" s="55" t="s">
        <v>27</v>
      </c>
      <c r="D18" s="58" t="s">
        <v>45</v>
      </c>
      <c r="E18" s="57" t="s">
        <v>48</v>
      </c>
      <c r="F18" s="57">
        <f>VLOOKUP(D18,E$34:$F39,2,FALSE)*VLOOKUP(E18,$H$34:$I$36,2,FALSE)</f>
        <v>4.0000000000000008E-2</v>
      </c>
      <c r="G18" s="63" t="str">
        <f>IF(F18&gt;='Matriz de risco'!$D$21,'Matriz de risco'!$B$21,IF(F18&gt;='Matriz de risco'!$D$22,'Matriz de risco'!$B$22,IF(F18&gt;='Matriz de risco'!$D$23,'Matriz de risco'!$B$23,IF(F18&gt;='Matriz de risco'!$D$24,'Matriz de risco'!$B$24))))</f>
        <v>Risco muito baixo</v>
      </c>
      <c r="H18" s="57" t="s">
        <v>57</v>
      </c>
      <c r="I18" s="57" t="s">
        <v>68</v>
      </c>
      <c r="J18" s="57" t="s">
        <v>57</v>
      </c>
      <c r="K18" s="57"/>
      <c r="L18" s="57" t="s">
        <v>72</v>
      </c>
      <c r="M18" s="57"/>
      <c r="N18" s="57" t="s">
        <v>45</v>
      </c>
      <c r="O18" s="57" t="s">
        <v>48</v>
      </c>
      <c r="P18" s="57">
        <f>VLOOKUP(N18,$E$34:$F$36,2,FALSE)*VLOOKUP(O18,$H$34:$I$36,2,FALSE)</f>
        <v>4.0000000000000008E-2</v>
      </c>
      <c r="Q18" s="63" t="str">
        <f>IF(P18&gt;='Matriz de risco'!$D$21,'Matriz de risco'!$B$21,IF(P18&gt;='Matriz de risco'!$D$22,'Matriz de risco'!$B$22,IF(P18&gt;='Matriz de risco'!$D$23,'Matriz de risco'!$B$23,IF(P18&gt;='Matriz de risco'!$D$24,'Matriz de risco'!$B$24))))</f>
        <v>Risco muito baixo</v>
      </c>
    </row>
    <row r="19" spans="2:17" ht="35.25" customHeight="1" x14ac:dyDescent="0.2">
      <c r="B19" s="56" t="s">
        <v>15</v>
      </c>
      <c r="C19" s="55" t="s">
        <v>28</v>
      </c>
      <c r="D19" s="58" t="s">
        <v>43</v>
      </c>
      <c r="E19" s="57" t="s">
        <v>47</v>
      </c>
      <c r="F19" s="57">
        <f>VLOOKUP(D19,E$34:$F40,2,FALSE)*VLOOKUP(E19,$H$34:$I$36,2,FALSE)</f>
        <v>0.5</v>
      </c>
      <c r="G19" s="63" t="str">
        <f>IF(F19&gt;='Matriz de risco'!$D$21,'Matriz de risco'!$B$21,IF(F19&gt;='Matriz de risco'!$D$22,'Matriz de risco'!$B$22,IF(F19&gt;='Matriz de risco'!$D$23,'Matriz de risco'!$B$23,IF(F19&gt;='Matriz de risco'!$D$24,'Matriz de risco'!$B$24))))</f>
        <v>Risco elevado</v>
      </c>
      <c r="H19" s="57" t="s">
        <v>60</v>
      </c>
      <c r="I19" s="57" t="s">
        <v>63</v>
      </c>
      <c r="J19" s="57" t="s">
        <v>60</v>
      </c>
      <c r="K19" s="57"/>
      <c r="L19" s="57" t="s">
        <v>73</v>
      </c>
      <c r="M19" s="57"/>
      <c r="N19" s="57" t="s">
        <v>43</v>
      </c>
      <c r="O19" s="57" t="s">
        <v>48</v>
      </c>
      <c r="P19" s="57">
        <f>VLOOKUP(N19,$E$34:$F$36,2,FALSE)*VLOOKUP(O19,$H$34:$I$36,2,FALSE)</f>
        <v>0.2</v>
      </c>
      <c r="Q19" s="63" t="str">
        <f>IF(P19&gt;='Matriz de risco'!$D$21,'Matriz de risco'!$B$21,IF(P19&gt;='Matriz de risco'!$D$22,'Matriz de risco'!$B$22,IF(P19&gt;='Matriz de risco'!$D$23,'Matriz de risco'!$B$23,IF(P19&gt;='Matriz de risco'!$D$24,'Matriz de risco'!$B$24))))</f>
        <v>Risco moderado</v>
      </c>
    </row>
    <row r="20" spans="2:17" ht="35.25" customHeight="1" x14ac:dyDescent="0.2">
      <c r="B20" s="56" t="s">
        <v>15</v>
      </c>
      <c r="C20" s="55" t="s">
        <v>56</v>
      </c>
      <c r="D20" s="58" t="s">
        <v>44</v>
      </c>
      <c r="E20" s="57" t="s">
        <v>47</v>
      </c>
      <c r="F20" s="57">
        <f>VLOOKUP(D20,E$34:$F41,2,FALSE)*VLOOKUP(E20,$H$34:$I$36,2,FALSE)</f>
        <v>0.25</v>
      </c>
      <c r="G20" s="63" t="str">
        <f>IF(F20&gt;='Matriz de risco'!$D$21,'Matriz de risco'!$B$21,IF(F20&gt;='Matriz de risco'!$D$22,'Matriz de risco'!$B$22,IF(F20&gt;='Matriz de risco'!$D$23,'Matriz de risco'!$B$23,IF(F20&gt;='Matriz de risco'!$D$24,'Matriz de risco'!$B$24))))</f>
        <v>Risco moderado</v>
      </c>
      <c r="H20" s="57" t="s">
        <v>57</v>
      </c>
      <c r="I20" s="57" t="s">
        <v>63</v>
      </c>
      <c r="J20" s="57"/>
      <c r="K20" s="57"/>
      <c r="L20" s="57"/>
      <c r="M20" s="57"/>
      <c r="N20" s="57" t="s">
        <v>44</v>
      </c>
      <c r="O20" s="57" t="s">
        <v>47</v>
      </c>
      <c r="P20" s="57">
        <f>VLOOKUP(N20,$E$34:$F$36,2,FALSE)*VLOOKUP(O20,$H$34:$I$36,2,FALSE)</f>
        <v>0.25</v>
      </c>
      <c r="Q20" s="63" t="str">
        <f>IF(P20&gt;='Matriz de risco'!$D$21,'Matriz de risco'!$B$21,IF(P20&gt;='Matriz de risco'!$D$22,'Matriz de risco'!$B$22,IF(P20&gt;='Matriz de risco'!$D$23,'Matriz de risco'!$B$23,IF(P20&gt;='Matriz de risco'!$D$24,'Matriz de risco'!$B$24))))</f>
        <v>Risco moderado</v>
      </c>
    </row>
    <row r="21" spans="2:17" ht="35.25" customHeight="1" x14ac:dyDescent="0.2">
      <c r="B21" s="56" t="s">
        <v>15</v>
      </c>
      <c r="C21" s="55" t="s">
        <v>29</v>
      </c>
      <c r="D21" s="58" t="s">
        <v>43</v>
      </c>
      <c r="E21" s="57" t="s">
        <v>46</v>
      </c>
      <c r="F21" s="57">
        <f>VLOOKUP(D21,E$34:$F42,2,FALSE)*VLOOKUP(E21,$H$34:$I$36,2,FALSE)</f>
        <v>1</v>
      </c>
      <c r="G21" s="63" t="str">
        <f>IF(F21&gt;='Matriz de risco'!$D$21,'Matriz de risco'!$B$21,IF(F21&gt;='Matriz de risco'!$D$22,'Matriz de risco'!$B$22,IF(F21&gt;='Matriz de risco'!$D$23,'Matriz de risco'!$B$23,IF(F21&gt;='Matriz de risco'!$D$24,'Matriz de risco'!$B$24))))</f>
        <v>Risco elevado</v>
      </c>
      <c r="H21" s="57" t="s">
        <v>50</v>
      </c>
      <c r="I21" s="57" t="s">
        <v>63</v>
      </c>
      <c r="J21" s="57" t="s">
        <v>59</v>
      </c>
      <c r="K21" s="57" t="s">
        <v>74</v>
      </c>
      <c r="L21" s="57" t="s">
        <v>75</v>
      </c>
      <c r="M21" s="57" t="s">
        <v>80</v>
      </c>
      <c r="N21" s="57" t="s">
        <v>44</v>
      </c>
      <c r="O21" s="57" t="s">
        <v>47</v>
      </c>
      <c r="P21" s="57">
        <f>VLOOKUP(N21,$E$34:$F$36,2,FALSE)*VLOOKUP(O21,$H$34:$I$36,2,FALSE)</f>
        <v>0.25</v>
      </c>
      <c r="Q21" s="63" t="str">
        <f>IF(P21&gt;='Matriz de risco'!$D$21,'Matriz de risco'!$B$21,IF(P21&gt;='Matriz de risco'!$D$22,'Matriz de risco'!$B$22,IF(P21&gt;='Matriz de risco'!$D$23,'Matriz de risco'!$B$23,IF(P21&gt;='Matriz de risco'!$D$24,'Matriz de risco'!$B$24))))</f>
        <v>Risco moderado</v>
      </c>
    </row>
    <row r="22" spans="2:17" ht="35.25" customHeight="1" x14ac:dyDescent="0.2">
      <c r="B22" s="57" t="s">
        <v>14</v>
      </c>
      <c r="C22" s="55" t="s">
        <v>52</v>
      </c>
      <c r="D22" s="58" t="s">
        <v>45</v>
      </c>
      <c r="E22" s="57" t="s">
        <v>47</v>
      </c>
      <c r="F22" s="57">
        <f>VLOOKUP(D22,E$34:$F43,2,FALSE)*VLOOKUP(E22,$H$34:$I$36,2,FALSE)</f>
        <v>0.1</v>
      </c>
      <c r="G22" s="63" t="str">
        <f>IF(F22&gt;='Matriz de risco'!$D$21,'Matriz de risco'!$B$21,IF(F22&gt;='Matriz de risco'!$D$22,'Matriz de risco'!$B$22,IF(F22&gt;='Matriz de risco'!$D$23,'Matriz de risco'!$B$23,IF(F22&gt;='Matriz de risco'!$D$24,'Matriz de risco'!$B$24))))</f>
        <v>Risco baixo</v>
      </c>
      <c r="H22" s="57" t="s">
        <v>57</v>
      </c>
      <c r="I22" s="57" t="s">
        <v>66</v>
      </c>
      <c r="J22" s="57" t="s">
        <v>59</v>
      </c>
      <c r="K22" s="57"/>
      <c r="L22" s="57" t="s">
        <v>76</v>
      </c>
      <c r="M22" s="57"/>
      <c r="N22" s="57" t="s">
        <v>45</v>
      </c>
      <c r="O22" s="57" t="s">
        <v>47</v>
      </c>
      <c r="P22" s="57">
        <f>VLOOKUP(N22,$E$34:$F$36,2,FALSE)*VLOOKUP(O22,$H$34:$I$36,2,FALSE)</f>
        <v>0.1</v>
      </c>
      <c r="Q22" s="63" t="str">
        <f>IF(P22&gt;='Matriz de risco'!$D$21,'Matriz de risco'!$B$21,IF(P22&gt;='Matriz de risco'!$D$22,'Matriz de risco'!$B$22,IF(P22&gt;='Matriz de risco'!$D$23,'Matriz de risco'!$B$23,IF(P22&gt;='Matriz de risco'!$D$24,'Matriz de risco'!$B$24))))</f>
        <v>Risco baixo</v>
      </c>
    </row>
    <row r="23" spans="2:17" ht="35.25" customHeight="1" x14ac:dyDescent="0.2">
      <c r="B23" s="56" t="s">
        <v>15</v>
      </c>
      <c r="C23" s="55" t="s">
        <v>53</v>
      </c>
      <c r="D23" s="58" t="s">
        <v>44</v>
      </c>
      <c r="E23" s="57" t="s">
        <v>47</v>
      </c>
      <c r="F23" s="57">
        <f>VLOOKUP(D23,E$34:$F44,2,FALSE)*VLOOKUP(E23,$H$34:$I$36,2,FALSE)</f>
        <v>0.25</v>
      </c>
      <c r="G23" s="63" t="str">
        <f>IF(F23&gt;='Matriz de risco'!$D$21,'Matriz de risco'!$B$21,IF(F23&gt;='Matriz de risco'!$D$22,'Matriz de risco'!$B$22,IF(F23&gt;='Matriz de risco'!$D$23,'Matriz de risco'!$B$23,IF(F23&gt;='Matriz de risco'!$D$24,'Matriz de risco'!$B$24))))</f>
        <v>Risco moderado</v>
      </c>
      <c r="H23" s="57" t="s">
        <v>57</v>
      </c>
      <c r="I23" s="57" t="s">
        <v>68</v>
      </c>
      <c r="J23" s="57" t="s">
        <v>57</v>
      </c>
      <c r="K23" s="57" t="s">
        <v>72</v>
      </c>
      <c r="L23" s="57" t="s">
        <v>77</v>
      </c>
      <c r="M23" s="57" t="s">
        <v>78</v>
      </c>
      <c r="N23" s="57" t="s">
        <v>45</v>
      </c>
      <c r="O23" s="57" t="s">
        <v>47</v>
      </c>
      <c r="P23" s="57">
        <f>VLOOKUP(N23,$E$34:$F$36,2,FALSE)*VLOOKUP(O23,$H$34:$I$36,2,FALSE)</f>
        <v>0.1</v>
      </c>
      <c r="Q23" s="63" t="str">
        <f>IF(P23&gt;='Matriz de risco'!$D$21,'Matriz de risco'!$B$21,IF(P23&gt;='Matriz de risco'!$D$22,'Matriz de risco'!$B$22,IF(P23&gt;='Matriz de risco'!$D$23,'Matriz de risco'!$B$23,IF(P23&gt;='Matriz de risco'!$D$24,'Matriz de risco'!$B$24))))</f>
        <v>Risco baixo</v>
      </c>
    </row>
    <row r="24" spans="2:17" ht="35.25" customHeight="1" x14ac:dyDescent="0.2">
      <c r="B24" s="56" t="s">
        <v>15</v>
      </c>
      <c r="C24" s="55" t="s">
        <v>30</v>
      </c>
      <c r="D24" s="58" t="s">
        <v>45</v>
      </c>
      <c r="E24" s="57" t="s">
        <v>46</v>
      </c>
      <c r="F24" s="57">
        <f>VLOOKUP(D24,E$34:$F45,2,FALSE)*VLOOKUP(E24,$H$34:$I$36,2,FALSE)</f>
        <v>0.2</v>
      </c>
      <c r="G24" s="63" t="str">
        <f>IF(F24&gt;='Matriz de risco'!$D$21,'Matriz de risco'!$B$21,IF(F24&gt;='Matriz de risco'!$D$22,'Matriz de risco'!$B$22,IF(F24&gt;='Matriz de risco'!$D$23,'Matriz de risco'!$B$23,IF(F24&gt;='Matriz de risco'!$D$24,'Matriz de risco'!$B$24))))</f>
        <v>Risco moderado</v>
      </c>
      <c r="H24" s="57" t="s">
        <v>57</v>
      </c>
      <c r="I24" s="57" t="s">
        <v>68</v>
      </c>
      <c r="J24" s="57"/>
      <c r="K24" s="57"/>
      <c r="L24" s="57"/>
      <c r="M24" s="57"/>
      <c r="N24" s="57" t="s">
        <v>45</v>
      </c>
      <c r="O24" s="57" t="s">
        <v>46</v>
      </c>
      <c r="P24" s="57">
        <f>VLOOKUP(N24,$E$34:$F$36,2,FALSE)*VLOOKUP(O24,$H$34:$I$36,2,FALSE)</f>
        <v>0.2</v>
      </c>
      <c r="Q24" s="63" t="str">
        <f>IF(P24&gt;='Matriz de risco'!$D$21,'Matriz de risco'!$B$21,IF(P24&gt;='Matriz de risco'!$D$22,'Matriz de risco'!$B$22,IF(P24&gt;='Matriz de risco'!$D$23,'Matriz de risco'!$B$23,IF(P24&gt;='Matriz de risco'!$D$24,'Matriz de risco'!$B$24))))</f>
        <v>Risco moderado</v>
      </c>
    </row>
    <row r="25" spans="2:17" ht="35.25" customHeight="1" x14ac:dyDescent="0.2">
      <c r="B25" s="56" t="s">
        <v>15</v>
      </c>
      <c r="C25" s="55" t="s">
        <v>31</v>
      </c>
      <c r="D25" s="58" t="s">
        <v>44</v>
      </c>
      <c r="E25" s="57" t="s">
        <v>46</v>
      </c>
      <c r="F25" s="57">
        <f>VLOOKUP(D25,E$34:$F46,2,FALSE)*VLOOKUP(E25,$H$34:$I$36,2,FALSE)</f>
        <v>0.5</v>
      </c>
      <c r="G25" s="63" t="str">
        <f>IF(F25&gt;='Matriz de risco'!$D$21,'Matriz de risco'!$B$21,IF(F25&gt;='Matriz de risco'!$D$22,'Matriz de risco'!$B$22,IF(F25&gt;='Matriz de risco'!$D$23,'Matriz de risco'!$B$23,IF(F25&gt;='Matriz de risco'!$D$24,'Matriz de risco'!$B$24))))</f>
        <v>Risco elevado</v>
      </c>
      <c r="H25" s="57" t="s">
        <v>57</v>
      </c>
      <c r="I25" s="57" t="s">
        <v>63</v>
      </c>
      <c r="J25" s="57" t="s">
        <v>57</v>
      </c>
      <c r="K25" s="57" t="s">
        <v>72</v>
      </c>
      <c r="L25" s="57" t="s">
        <v>77</v>
      </c>
      <c r="M25" s="57" t="s">
        <v>78</v>
      </c>
      <c r="N25" s="57" t="s">
        <v>45</v>
      </c>
      <c r="O25" s="57" t="s">
        <v>46</v>
      </c>
      <c r="P25" s="57">
        <f>VLOOKUP(N25,$E$34:$F$36,2,FALSE)*VLOOKUP(O25,$H$34:$I$36,2,FALSE)</f>
        <v>0.2</v>
      </c>
      <c r="Q25" s="63" t="str">
        <f>IF(P25&gt;='Matriz de risco'!$D$21,'Matriz de risco'!$B$21,IF(P25&gt;='Matriz de risco'!$D$22,'Matriz de risco'!$B$22,IF(P25&gt;='Matriz de risco'!$D$23,'Matriz de risco'!$B$23,IF(P25&gt;='Matriz de risco'!$D$24,'Matriz de risco'!$B$24))))</f>
        <v>Risco moderado</v>
      </c>
    </row>
    <row r="26" spans="2:17" ht="35.25" customHeight="1" x14ac:dyDescent="0.2">
      <c r="B26" s="57" t="s">
        <v>15</v>
      </c>
      <c r="C26" s="55" t="s">
        <v>32</v>
      </c>
      <c r="D26" s="58" t="s">
        <v>44</v>
      </c>
      <c r="E26" s="57" t="s">
        <v>46</v>
      </c>
      <c r="F26" s="57">
        <f>VLOOKUP(D26,E$34:$F47,2,FALSE)*VLOOKUP(E26,$H$34:$I$36,2,FALSE)</f>
        <v>0.5</v>
      </c>
      <c r="G26" s="63" t="str">
        <f>IF(F26&gt;='Matriz de risco'!$D$21,'Matriz de risco'!$B$21,IF(F26&gt;='Matriz de risco'!$D$22,'Matriz de risco'!$B$22,IF(F26&gt;='Matriz de risco'!$D$23,'Matriz de risco'!$B$23,IF(F26&gt;='Matriz de risco'!$D$24,'Matriz de risco'!$B$24))))</f>
        <v>Risco elevado</v>
      </c>
      <c r="H26" s="57" t="s">
        <v>57</v>
      </c>
      <c r="I26" s="57" t="s">
        <v>63</v>
      </c>
      <c r="J26" s="57" t="s">
        <v>57</v>
      </c>
      <c r="K26" s="57" t="s">
        <v>79</v>
      </c>
      <c r="L26" s="57"/>
      <c r="M26" s="57" t="s">
        <v>80</v>
      </c>
      <c r="N26" s="57" t="s">
        <v>44</v>
      </c>
      <c r="O26" s="57" t="s">
        <v>47</v>
      </c>
      <c r="P26" s="57">
        <f>VLOOKUP(N26,$E$34:$F$36,2,FALSE)*VLOOKUP(O26,$H$34:$I$36,2,FALSE)</f>
        <v>0.25</v>
      </c>
      <c r="Q26" s="63" t="str">
        <f>IF(P26&gt;='Matriz de risco'!$D$21,'Matriz de risco'!$B$21,IF(P26&gt;='Matriz de risco'!$D$22,'Matriz de risco'!$B$22,IF(P26&gt;='Matriz de risco'!$D$23,'Matriz de risco'!$B$23,IF(P26&gt;='Matriz de risco'!$D$24,'Matriz de risco'!$B$24))))</f>
        <v>Risco moderado</v>
      </c>
    </row>
    <row r="27" spans="2:17" ht="35.25" customHeight="1" x14ac:dyDescent="0.2">
      <c r="B27" s="56" t="s">
        <v>15</v>
      </c>
      <c r="C27" s="55" t="s">
        <v>54</v>
      </c>
      <c r="D27" s="58" t="s">
        <v>45</v>
      </c>
      <c r="E27" s="57" t="s">
        <v>47</v>
      </c>
      <c r="F27" s="57">
        <f>VLOOKUP(D27,E$34:$F48,2,FALSE)*VLOOKUP(E27,$H$34:$I$36,2,FALSE)</f>
        <v>0.1</v>
      </c>
      <c r="G27" s="63" t="str">
        <f>IF(F27&gt;='Matriz de risco'!$D$21,'Matriz de risco'!$B$21,IF(F27&gt;='Matriz de risco'!$D$22,'Matriz de risco'!$B$22,IF(F27&gt;='Matriz de risco'!$D$23,'Matriz de risco'!$B$23,IF(F27&gt;='Matriz de risco'!$D$24,'Matriz de risco'!$B$24))))</f>
        <v>Risco baixo</v>
      </c>
      <c r="H27" s="57" t="s">
        <v>57</v>
      </c>
      <c r="I27" s="57" t="s">
        <v>68</v>
      </c>
      <c r="J27" s="57" t="s">
        <v>57</v>
      </c>
      <c r="K27" s="57" t="s">
        <v>72</v>
      </c>
      <c r="L27" s="57" t="s">
        <v>81</v>
      </c>
      <c r="M27" s="57"/>
      <c r="N27" s="57" t="s">
        <v>45</v>
      </c>
      <c r="O27" s="57" t="s">
        <v>48</v>
      </c>
      <c r="P27" s="57">
        <f>VLOOKUP(N27,$E$34:$F$36,2,FALSE)*VLOOKUP(O27,$H$34:$I$36,2,FALSE)</f>
        <v>4.0000000000000008E-2</v>
      </c>
      <c r="Q27" s="63" t="str">
        <f>IF(P27&gt;='Matriz de risco'!$D$21,'Matriz de risco'!$B$21,IF(P27&gt;='Matriz de risco'!$D$22,'Matriz de risco'!$B$22,IF(P27&gt;='Matriz de risco'!$D$23,'Matriz de risco'!$B$23,IF(P27&gt;='Matriz de risco'!$D$24,'Matriz de risco'!$B$24))))</f>
        <v>Risco muito baixo</v>
      </c>
    </row>
    <row r="28" spans="2:17" ht="35.25" customHeight="1" x14ac:dyDescent="0.2">
      <c r="B28" s="56" t="s">
        <v>15</v>
      </c>
      <c r="C28" s="55" t="s">
        <v>33</v>
      </c>
      <c r="D28" s="58" t="s">
        <v>45</v>
      </c>
      <c r="E28" s="57" t="s">
        <v>46</v>
      </c>
      <c r="F28" s="57">
        <f>VLOOKUP(D28,E$34:$F49,2,FALSE)*VLOOKUP(E28,$H$34:$I$36,2,FALSE)</f>
        <v>0.2</v>
      </c>
      <c r="G28" s="63" t="str">
        <f>IF(F28&gt;='Matriz de risco'!$D$21,'Matriz de risco'!$B$21,IF(F28&gt;='Matriz de risco'!$D$22,'Matriz de risco'!$B$22,IF(F28&gt;='Matriz de risco'!$D$23,'Matriz de risco'!$B$23,IF(F28&gt;='Matriz de risco'!$D$24,'Matriz de risco'!$B$24))))</f>
        <v>Risco moderado</v>
      </c>
      <c r="H28" s="57" t="s">
        <v>59</v>
      </c>
      <c r="I28" s="57" t="s">
        <v>66</v>
      </c>
      <c r="J28" s="57" t="s">
        <v>59</v>
      </c>
      <c r="K28" s="57" t="s">
        <v>82</v>
      </c>
      <c r="L28" s="57" t="s">
        <v>83</v>
      </c>
      <c r="M28" s="57"/>
      <c r="N28" s="57" t="s">
        <v>45</v>
      </c>
      <c r="O28" s="57" t="s">
        <v>47</v>
      </c>
      <c r="P28" s="57">
        <f>VLOOKUP(N28,$E$34:$F$36,2,FALSE)*VLOOKUP(O28,$H$34:$I$36,2,FALSE)</f>
        <v>0.1</v>
      </c>
      <c r="Q28" s="63" t="str">
        <f>IF(P28&gt;='Matriz de risco'!$D$21,'Matriz de risco'!$B$21,IF(P28&gt;='Matriz de risco'!$D$22,'Matriz de risco'!$B$22,IF(P28&gt;='Matriz de risco'!$D$23,'Matriz de risco'!$B$23,IF(P28&gt;='Matriz de risco'!$D$24,'Matriz de risco'!$B$24))))</f>
        <v>Risco baixo</v>
      </c>
    </row>
    <row r="29" spans="2:17" ht="35.25" customHeight="1" x14ac:dyDescent="0.2">
      <c r="B29" s="56" t="s">
        <v>15</v>
      </c>
      <c r="C29" s="55" t="s">
        <v>55</v>
      </c>
      <c r="D29" s="58" t="s">
        <v>45</v>
      </c>
      <c r="E29" s="57" t="s">
        <v>46</v>
      </c>
      <c r="F29" s="57">
        <f>VLOOKUP(D29,E$34:$F50,2,FALSE)*VLOOKUP(E29,$H$34:$I$36,2,FALSE)</f>
        <v>0.2</v>
      </c>
      <c r="G29" s="63" t="str">
        <f>IF(F29&gt;='Matriz de risco'!$D$21,'Matriz de risco'!$B$21,IF(F29&gt;='Matriz de risco'!$D$22,'Matriz de risco'!$B$22,IF(F29&gt;='Matriz de risco'!$D$23,'Matriz de risco'!$B$23,IF(F29&gt;='Matriz de risco'!$D$24,'Matriz de risco'!$B$24))))</f>
        <v>Risco moderado</v>
      </c>
      <c r="H29" s="57" t="s">
        <v>57</v>
      </c>
      <c r="I29" s="57" t="s">
        <v>68</v>
      </c>
      <c r="J29" s="57" t="s">
        <v>57</v>
      </c>
      <c r="K29" s="57" t="s">
        <v>72</v>
      </c>
      <c r="L29" s="57" t="s">
        <v>84</v>
      </c>
      <c r="M29" s="57" t="s">
        <v>80</v>
      </c>
      <c r="N29" s="57" t="s">
        <v>45</v>
      </c>
      <c r="O29" s="57" t="s">
        <v>47</v>
      </c>
      <c r="P29" s="57">
        <f>VLOOKUP(N29,$E$34:$F$36,2,FALSE)*VLOOKUP(O29,$H$34:$I$36,2,FALSE)</f>
        <v>0.1</v>
      </c>
      <c r="Q29" s="63" t="str">
        <f>IF(P29&gt;='Matriz de risco'!$D$21,'Matriz de risco'!$B$21,IF(P29&gt;='Matriz de risco'!$D$22,'Matriz de risco'!$B$22,IF(P29&gt;='Matriz de risco'!$D$23,'Matriz de risco'!$B$23,IF(P29&gt;='Matriz de risco'!$D$24,'Matriz de risco'!$B$24))))</f>
        <v>Risco baixo</v>
      </c>
    </row>
    <row r="30" spans="2:17" ht="35.25" customHeight="1" thickBot="1" x14ac:dyDescent="0.25">
      <c r="B30" s="54" t="s">
        <v>14</v>
      </c>
      <c r="C30" s="53" t="s">
        <v>62</v>
      </c>
      <c r="D30" s="59" t="s">
        <v>44</v>
      </c>
      <c r="E30" s="54" t="s">
        <v>47</v>
      </c>
      <c r="F30" s="54">
        <f>VLOOKUP(D30,E$34:$F51,2,FALSE)*VLOOKUP(E30,$H$34:$I$36,2,FALSE)</f>
        <v>0.25</v>
      </c>
      <c r="G30" s="64" t="str">
        <f>IF(F30&gt;='Matriz de risco'!$D$21,'Matriz de risco'!$B$21,IF(F30&gt;='Matriz de risco'!$D$22,'Matriz de risco'!$B$22,IF(F30&gt;='Matriz de risco'!$D$23,'Matriz de risco'!$B$23,IF(F30&gt;='Matriz de risco'!$D$24,'Matriz de risco'!$B$24))))</f>
        <v>Risco moderado</v>
      </c>
      <c r="H30" s="54" t="s">
        <v>60</v>
      </c>
      <c r="I30" s="54" t="s">
        <v>64</v>
      </c>
      <c r="J30" s="54" t="s">
        <v>59</v>
      </c>
      <c r="K30" s="54"/>
      <c r="L30" s="54" t="s">
        <v>85</v>
      </c>
      <c r="M30" s="54"/>
      <c r="N30" s="54" t="s">
        <v>45</v>
      </c>
      <c r="O30" s="54" t="s">
        <v>47</v>
      </c>
      <c r="P30" s="54">
        <f>VLOOKUP(N30,$E$34:$F$36,2,FALSE)*VLOOKUP(O30,$H$34:$I$36,2,FALSE)</f>
        <v>0.1</v>
      </c>
      <c r="Q30" s="64" t="str">
        <f>IF(P30&gt;='Matriz de risco'!$D$21,'Matriz de risco'!$B$21,IF(P30&gt;='Matriz de risco'!$D$22,'Matriz de risco'!$B$22,IF(P30&gt;='Matriz de risco'!$D$23,'Matriz de risco'!$B$23,IF(P30&gt;='Matriz de risco'!$D$24,'Matriz de risco'!$B$24))))</f>
        <v>Risco baixo</v>
      </c>
    </row>
    <row r="33" spans="2:12" ht="15" x14ac:dyDescent="0.2">
      <c r="B33" s="52" t="s">
        <v>9</v>
      </c>
      <c r="C33" s="52"/>
      <c r="E33" s="52" t="s">
        <v>34</v>
      </c>
      <c r="F33" s="52"/>
      <c r="H33" s="52" t="s">
        <v>35</v>
      </c>
      <c r="I33" s="52"/>
      <c r="K33" s="51" t="s">
        <v>49</v>
      </c>
      <c r="L33" s="51" t="s">
        <v>23</v>
      </c>
    </row>
    <row r="34" spans="2:12" ht="14.25" x14ac:dyDescent="0.2">
      <c r="B34" s="55" t="s">
        <v>10</v>
      </c>
      <c r="C34" s="58" t="s">
        <v>11</v>
      </c>
      <c r="D34" s="48"/>
      <c r="E34" s="55" t="str">
        <f>'Matriz de risco'!B3</f>
        <v>a) Alta</v>
      </c>
      <c r="F34" s="58">
        <f>'Matriz de risco'!C3</f>
        <v>1</v>
      </c>
      <c r="H34" s="55" t="str">
        <f>'Matriz de risco'!B8</f>
        <v>a) Grave</v>
      </c>
      <c r="I34" s="57">
        <f>'Matriz de risco'!C8</f>
        <v>1</v>
      </c>
      <c r="K34" s="57" t="s">
        <v>57</v>
      </c>
      <c r="L34" s="57" t="s">
        <v>65</v>
      </c>
    </row>
    <row r="35" spans="2:12" ht="14.25" x14ac:dyDescent="0.2">
      <c r="B35" s="55" t="s">
        <v>14</v>
      </c>
      <c r="C35" s="58" t="s">
        <v>12</v>
      </c>
      <c r="D35" s="48"/>
      <c r="E35" s="55" t="str">
        <f>'Matriz de risco'!B4</f>
        <v>b) Moderada</v>
      </c>
      <c r="F35" s="58">
        <f>'Matriz de risco'!C4</f>
        <v>0.5</v>
      </c>
      <c r="H35" s="55" t="str">
        <f>'Matriz de risco'!B9</f>
        <v>b) Moderado</v>
      </c>
      <c r="I35" s="57">
        <f>'Matriz de risco'!C9</f>
        <v>0.5</v>
      </c>
      <c r="K35" s="57" t="s">
        <v>58</v>
      </c>
      <c r="L35" s="57" t="s">
        <v>63</v>
      </c>
    </row>
    <row r="36" spans="2:12" ht="15" thickBot="1" x14ac:dyDescent="0.25">
      <c r="B36" s="55" t="s">
        <v>15</v>
      </c>
      <c r="C36" s="58" t="s">
        <v>13</v>
      </c>
      <c r="D36" s="48"/>
      <c r="E36" s="53" t="str">
        <f>'Matriz de risco'!B5</f>
        <v>c) Baixa</v>
      </c>
      <c r="F36" s="59">
        <f>'Matriz de risco'!C5</f>
        <v>0.2</v>
      </c>
      <c r="H36" s="53" t="str">
        <f>'Matriz de risco'!B10</f>
        <v>c) Marginal</v>
      </c>
      <c r="I36" s="54">
        <f>'Matriz de risco'!C10</f>
        <v>0.2</v>
      </c>
      <c r="K36" s="57" t="s">
        <v>59</v>
      </c>
      <c r="L36" s="57" t="s">
        <v>64</v>
      </c>
    </row>
    <row r="37" spans="2:12" ht="15" thickBot="1" x14ac:dyDescent="0.25">
      <c r="B37" s="53" t="s">
        <v>36</v>
      </c>
      <c r="C37" s="59" t="s">
        <v>37</v>
      </c>
      <c r="K37" s="57" t="s">
        <v>60</v>
      </c>
      <c r="L37" s="57" t="s">
        <v>66</v>
      </c>
    </row>
    <row r="38" spans="2:12" ht="14.25" x14ac:dyDescent="0.2">
      <c r="B38" s="1"/>
      <c r="K38" s="57" t="s">
        <v>50</v>
      </c>
      <c r="L38" s="57" t="s">
        <v>67</v>
      </c>
    </row>
    <row r="39" spans="2:12" ht="15" thickBot="1" x14ac:dyDescent="0.25">
      <c r="D39" s="48"/>
      <c r="K39" s="54" t="s">
        <v>51</v>
      </c>
      <c r="L39" s="54" t="s">
        <v>68</v>
      </c>
    </row>
    <row r="40" spans="2:12" x14ac:dyDescent="0.2">
      <c r="B40" s="1"/>
      <c r="D40" s="48"/>
    </row>
    <row r="41" spans="2:12" x14ac:dyDescent="0.2">
      <c r="B41" s="1"/>
      <c r="D41" s="48"/>
    </row>
  </sheetData>
  <mergeCells count="6">
    <mergeCell ref="B33:C33"/>
    <mergeCell ref="N13:Q13"/>
    <mergeCell ref="E33:F33"/>
    <mergeCell ref="H33:I33"/>
    <mergeCell ref="B12:E12"/>
    <mergeCell ref="E13:G13"/>
  </mergeCells>
  <phoneticPr fontId="4" type="noConversion"/>
  <dataValidations count="5">
    <dataValidation showInputMessage="1" showErrorMessage="1" sqref="D14 E33 N14"/>
    <dataValidation type="list" showInputMessage="1" showErrorMessage="1" error="Escolha um valor da lista de opções" sqref="D15:D30 N15:N30">
      <formula1>$E$34:$E$36</formula1>
    </dataValidation>
    <dataValidation type="list" allowBlank="1" showInputMessage="1" showErrorMessage="1" sqref="J15:J30 H15:H30">
      <formula1>$K$34:$K$39</formula1>
    </dataValidation>
    <dataValidation type="list" allowBlank="1" showInputMessage="1" showErrorMessage="1" sqref="I15:I30">
      <formula1>$L$34:$L$39</formula1>
    </dataValidation>
    <dataValidation type="list" showInputMessage="1" showErrorMessage="1" error="Escolha um valor da lista de opções" sqref="E15:E30 O15:O30">
      <formula1>$H$34:$H$36</formula1>
    </dataValidation>
  </dataValidations>
  <pageMargins left="0.75" right="0.75" top="1" bottom="1" header="0.5" footer="0.5"/>
  <pageSetup paperSize="9" scale="58" orientation="landscape" horizontalDpi="0" verticalDpi="0" r:id="rId1"/>
  <headerFooter alignWithMargins="0"/>
  <rowBreaks count="1" manualBreakCount="1">
    <brk id="32" max="16383" man="1"/>
  </rowBreaks>
  <colBreaks count="1" manualBreakCount="1">
    <brk id="7" max="1048575" man="1"/>
  </colBreak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stopIfTrue="1" operator="equal" id="{7BAC2ECB-4756-4E1D-9672-49B021475206}">
            <xm:f>'Matriz de risco'!$B$24</xm:f>
            <x14:dxf>
              <fill>
                <patternFill>
                  <bgColor theme="6" tint="0.59996337778862885"/>
                </patternFill>
              </fill>
            </x14:dxf>
          </x14:cfRule>
          <x14:cfRule type="cellIs" priority="6" stopIfTrue="1" operator="equal" id="{363BD846-3DAC-4CDB-BB7E-8965EF777FFE}">
            <xm:f>'Matriz de risco'!$B$23</xm:f>
            <x14:dxf>
              <font>
                <condense val="0"/>
                <extend val="0"/>
                <color auto="1"/>
              </font>
              <fill>
                <patternFill>
                  <bgColor indexed="43"/>
                </patternFill>
              </fill>
            </x14:dxf>
          </x14:cfRule>
          <x14:cfRule type="cellIs" priority="7" stopIfTrue="1" operator="equal" id="{665F7AD7-A526-4904-B588-EB847A671B07}">
            <xm:f>'Matriz de risco'!$B$22</xm:f>
            <x14:dxf>
              <fill>
                <patternFill>
                  <bgColor indexed="51"/>
                </patternFill>
              </fill>
            </x14:dxf>
          </x14:cfRule>
          <x14:cfRule type="cellIs" priority="8" stopIfTrue="1" operator="equal" id="{C5912173-47C3-417F-B44D-CE0195A29305}">
            <xm:f>'Matriz de risco'!$B$21</xm:f>
            <x14:dxf>
              <fill>
                <patternFill>
                  <bgColor indexed="53"/>
                </patternFill>
              </fill>
            </x14:dxf>
          </x14:cfRule>
          <xm:sqref>Q15:Q30</xm:sqref>
        </x14:conditionalFormatting>
        <x14:conditionalFormatting xmlns:xm="http://schemas.microsoft.com/office/excel/2006/main">
          <x14:cfRule type="cellIs" priority="1" stopIfTrue="1" operator="equal" id="{742E5E09-C4A0-4E52-B0C2-9DA68CF8F16B}">
            <xm:f>'Matriz de risco'!$B$24</xm:f>
            <x14:dxf>
              <fill>
                <patternFill>
                  <bgColor theme="6" tint="0.59996337778862885"/>
                </patternFill>
              </fill>
            </x14:dxf>
          </x14:cfRule>
          <x14:cfRule type="cellIs" priority="2" stopIfTrue="1" operator="equal" id="{1A05A098-045B-410A-AA6A-CF9F2DAD360B}">
            <xm:f>'Matriz de risco'!$B$23</xm:f>
            <x14:dxf>
              <font>
                <condense val="0"/>
                <extend val="0"/>
                <color auto="1"/>
              </font>
              <fill>
                <patternFill>
                  <bgColor indexed="43"/>
                </patternFill>
              </fill>
            </x14:dxf>
          </x14:cfRule>
          <x14:cfRule type="cellIs" priority="3" stopIfTrue="1" operator="equal" id="{CCEB5E91-E33D-4EC6-947E-979034FFD9E1}">
            <xm:f>'Matriz de risco'!$B$22</xm:f>
            <x14:dxf>
              <fill>
                <patternFill>
                  <bgColor indexed="51"/>
                </patternFill>
              </fill>
            </x14:dxf>
          </x14:cfRule>
          <x14:cfRule type="cellIs" priority="4" stopIfTrue="1" operator="equal" id="{FD95D766-BB36-43CA-8EB5-11FF4C51843F}">
            <xm:f>'Matriz de risco'!$B$21</xm:f>
            <x14:dxf>
              <fill>
                <patternFill>
                  <bgColor indexed="53"/>
                </patternFill>
              </fill>
            </x14:dxf>
          </x14:cfRule>
          <xm:sqref>G15:G30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Matriz de risco</vt:lpstr>
      <vt:lpstr>Levantamento</vt:lpstr>
      <vt:lpstr>Levantamento!Print_Area</vt:lpstr>
    </vt:vector>
  </TitlesOfParts>
  <Company>MASTERede, Lda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2006-03-16T21:29:19Z</dcterms:created>
  <dcterms:modified xsi:type="dcterms:W3CDTF">2016-02-11T14:34:24Z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a9fdabe0-5164-4806-8418-0b304bc9a8d9</vt:lpwstr>
  </property>
</Properties>
</file>